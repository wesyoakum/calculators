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944713.sharepoint.com/sites/SalesLeads/Shared Documents/Technical/calculators/"/>
    </mc:Choice>
  </mc:AlternateContent>
  <xr:revisionPtr revIDLastSave="0" documentId="8_{60F254B3-EE00-4CB5-B635-4A000B888121}" xr6:coauthVersionLast="47" xr6:coauthVersionMax="47" xr10:uidLastSave="{00000000-0000-0000-0000-000000000000}"/>
  <bookViews>
    <workbookView xWindow="-135" yWindow="-135" windowWidth="29070" windowHeight="15750" xr2:uid="{8C81B209-3429-4637-BF6B-F00802D3C44A}"/>
  </bookViews>
  <sheets>
    <sheet name="Pricing Engine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K14" i="1"/>
  <c r="K13" i="1"/>
  <c r="K12" i="1"/>
  <c r="F7" i="1"/>
  <c r="D8" i="1"/>
  <c r="D19" i="1"/>
  <c r="D17" i="1"/>
  <c r="D18" i="1"/>
  <c r="D16" i="1"/>
  <c r="F6" i="1"/>
  <c r="F5" i="1"/>
  <c r="F4" i="1"/>
  <c r="F8" i="1" l="1"/>
  <c r="D10" i="1"/>
  <c r="D13" i="1"/>
  <c r="E13" i="1" s="1"/>
  <c r="E6" i="1" l="1"/>
  <c r="E5" i="1"/>
  <c r="E4" i="1"/>
  <c r="E8" i="1"/>
</calcChain>
</file>

<file path=xl/sharedStrings.xml><?xml version="1.0" encoding="utf-8"?>
<sst xmlns="http://schemas.openxmlformats.org/spreadsheetml/2006/main" count="28" uniqueCount="25">
  <si>
    <t>Cost</t>
  </si>
  <si>
    <t>Cost/Target Price</t>
  </si>
  <si>
    <t>Cost/Quoted Price</t>
  </si>
  <si>
    <t>Target %</t>
  </si>
  <si>
    <t>Direct Material (DM)</t>
  </si>
  <si>
    <t>Direct Labor (DL)</t>
  </si>
  <si>
    <t>Indirect Material &amp; Overhead (IMOH)</t>
  </si>
  <si>
    <t>Total Estimated Cost</t>
  </si>
  <si>
    <t>Target Price</t>
  </si>
  <si>
    <t>Quote Price</t>
  </si>
  <si>
    <t>Budget Based On Quote Price</t>
  </si>
  <si>
    <t>DM</t>
  </si>
  <si>
    <t>DL</t>
  </si>
  <si>
    <t>IMOH</t>
  </si>
  <si>
    <t>Other</t>
  </si>
  <si>
    <t>Everything Else Protected</t>
  </si>
  <si>
    <t>Belongs to Dan</t>
  </si>
  <si>
    <t>Variable Within Total Cost %</t>
  </si>
  <si>
    <t>Variable Per Quote</t>
  </si>
  <si>
    <t>Good (&gt; 28.5%)</t>
  </si>
  <si>
    <t>Too Low (&lt; 28.5%)</t>
  </si>
  <si>
    <t>Estimated Gross Margin @ Quote Price</t>
  </si>
  <si>
    <t>Estimates from Material Only</t>
  </si>
  <si>
    <t>Price</t>
  </si>
  <si>
    <t>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</si>
</sst>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$#,##0;&quot;$(&quot;#,##0\);\-"/>
    <numFmt numFmtId="165" formatCode="0.0%"/>
    <numFmt numFmtId="167" formatCode="_(&quot;$&quot;* #,##0_);_(&quot;$&quot;* \(#,##0\);_(&quot;$&quot;* &quot;-&quot;??_);_(@_)"/>
  </numFmts>
  <fonts count="7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  <charset val="1"/>
    </font>
    <font>
      <sz val="11"/>
      <color theme="1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b/>
      <sz val="11"/>
      <color rgb="FFA5002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A8B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2" fillId="2" borderId="5" xfId="0" applyNumberFormat="1" applyFont="1" applyFill="1" applyBorder="1" applyAlignment="1">
      <alignment vertical="center"/>
    </xf>
    <xf numFmtId="165" fontId="2" fillId="0" borderId="6" xfId="0" applyNumberFormat="1" applyFont="1" applyBorder="1" applyAlignment="1">
      <alignment horizontal="center" vertical="center"/>
    </xf>
    <xf numFmtId="164" fontId="2" fillId="2" borderId="8" xfId="0" applyNumberFormat="1" applyFont="1" applyFill="1" applyBorder="1" applyAlignment="1">
      <alignment vertical="center"/>
    </xf>
    <xf numFmtId="165" fontId="2" fillId="0" borderId="9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vertical="center"/>
    </xf>
    <xf numFmtId="165" fontId="2" fillId="0" borderId="13" xfId="0" applyNumberFormat="1" applyFont="1" applyBorder="1" applyAlignment="1">
      <alignment horizontal="center" vertical="center"/>
    </xf>
    <xf numFmtId="165" fontId="3" fillId="0" borderId="13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vertical="center"/>
    </xf>
    <xf numFmtId="164" fontId="2" fillId="2" borderId="17" xfId="0" applyNumberFormat="1" applyFont="1" applyFill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165" fontId="1" fillId="0" borderId="18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0" fillId="3" borderId="19" xfId="0" applyFill="1" applyBorder="1"/>
    <xf numFmtId="0" fontId="0" fillId="3" borderId="20" xfId="0" applyFill="1" applyBorder="1"/>
    <xf numFmtId="0" fontId="0" fillId="3" borderId="17" xfId="0" applyFill="1" applyBorder="1"/>
    <xf numFmtId="0" fontId="0" fillId="3" borderId="21" xfId="0" applyFill="1" applyBorder="1"/>
    <xf numFmtId="0" fontId="1" fillId="3" borderId="0" xfId="0" applyFont="1" applyFill="1" applyAlignment="1">
      <alignment vertical="center"/>
    </xf>
    <xf numFmtId="0" fontId="0" fillId="3" borderId="22" xfId="0" applyFill="1" applyBorder="1"/>
    <xf numFmtId="0" fontId="2" fillId="3" borderId="0" xfId="0" applyFont="1" applyFill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left" vertical="center"/>
    </xf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0" fontId="2" fillId="3" borderId="26" xfId="0" applyFont="1" applyFill="1" applyBorder="1" applyAlignment="1">
      <alignment vertical="center"/>
    </xf>
    <xf numFmtId="164" fontId="2" fillId="2" borderId="27" xfId="0" applyNumberFormat="1" applyFont="1" applyFill="1" applyBorder="1" applyAlignment="1">
      <alignment vertical="center"/>
    </xf>
    <xf numFmtId="165" fontId="2" fillId="0" borderId="28" xfId="0" applyNumberFormat="1" applyFont="1" applyBorder="1" applyAlignment="1">
      <alignment horizontal="center" vertical="center"/>
    </xf>
    <xf numFmtId="0" fontId="2" fillId="3" borderId="30" xfId="0" applyFont="1" applyFill="1" applyBorder="1" applyAlignment="1">
      <alignment horizontal="left" vertical="center"/>
    </xf>
    <xf numFmtId="0" fontId="2" fillId="3" borderId="31" xfId="0" applyFont="1" applyFill="1" applyBorder="1" applyAlignment="1">
      <alignment horizontal="left" vertical="center"/>
    </xf>
    <xf numFmtId="0" fontId="2" fillId="3" borderId="32" xfId="0" applyFont="1" applyFill="1" applyBorder="1" applyAlignment="1">
      <alignment horizontal="left" vertical="center"/>
    </xf>
    <xf numFmtId="164" fontId="2" fillId="0" borderId="4" xfId="0" applyNumberFormat="1" applyFont="1" applyBorder="1" applyAlignment="1">
      <alignment vertical="center"/>
    </xf>
    <xf numFmtId="164" fontId="2" fillId="0" borderId="7" xfId="0" applyNumberFormat="1" applyFont="1" applyBorder="1" applyAlignment="1">
      <alignment vertical="center"/>
    </xf>
    <xf numFmtId="164" fontId="2" fillId="0" borderId="11" xfId="0" applyNumberFormat="1" applyFont="1" applyBorder="1" applyAlignment="1">
      <alignment vertical="center"/>
    </xf>
    <xf numFmtId="0" fontId="0" fillId="2" borderId="9" xfId="0" applyFill="1" applyBorder="1"/>
    <xf numFmtId="0" fontId="0" fillId="0" borderId="9" xfId="0" applyBorder="1"/>
    <xf numFmtId="165" fontId="2" fillId="4" borderId="10" xfId="0" applyNumberFormat="1" applyFont="1" applyFill="1" applyBorder="1" applyAlignment="1">
      <alignment horizontal="center" vertical="center"/>
    </xf>
    <xf numFmtId="165" fontId="2" fillId="5" borderId="29" xfId="0" applyNumberFormat="1" applyFont="1" applyFill="1" applyBorder="1" applyAlignment="1">
      <alignment horizontal="center" vertical="center"/>
    </xf>
    <xf numFmtId="165" fontId="2" fillId="5" borderId="14" xfId="0" applyNumberFormat="1" applyFont="1" applyFill="1" applyBorder="1" applyAlignment="1">
      <alignment horizontal="center" vertical="center"/>
    </xf>
    <xf numFmtId="165" fontId="2" fillId="4" borderId="10" xfId="0" applyNumberFormat="1" applyFont="1" applyFill="1" applyBorder="1" applyAlignment="1">
      <alignment horizontal="left" vertical="center"/>
    </xf>
    <xf numFmtId="165" fontId="2" fillId="5" borderId="10" xfId="0" applyNumberFormat="1" applyFont="1" applyFill="1" applyBorder="1" applyAlignment="1">
      <alignment horizontal="left" vertical="center"/>
    </xf>
    <xf numFmtId="0" fontId="5" fillId="6" borderId="9" xfId="0" applyFont="1" applyFill="1" applyBorder="1"/>
    <xf numFmtId="0" fontId="6" fillId="7" borderId="9" xfId="0" applyFont="1" applyFill="1" applyBorder="1"/>
    <xf numFmtId="165" fontId="2" fillId="0" borderId="33" xfId="0" applyNumberFormat="1" applyFont="1" applyBorder="1" applyAlignment="1">
      <alignment horizontal="center" vertical="center"/>
    </xf>
    <xf numFmtId="165" fontId="2" fillId="4" borderId="3" xfId="0" applyNumberFormat="1" applyFont="1" applyFill="1" applyBorder="1" applyAlignment="1">
      <alignment horizontal="center" vertical="center"/>
    </xf>
    <xf numFmtId="165" fontId="2" fillId="5" borderId="34" xfId="0" applyNumberFormat="1" applyFont="1" applyFill="1" applyBorder="1" applyAlignment="1">
      <alignment horizontal="center" vertical="center"/>
    </xf>
    <xf numFmtId="0" fontId="0" fillId="0" borderId="0" xfId="0" applyFill="1"/>
    <xf numFmtId="0" fontId="0" fillId="3" borderId="0" xfId="0" applyFill="1"/>
    <xf numFmtId="164" fontId="2" fillId="3" borderId="0" xfId="0" applyNumberFormat="1" applyFont="1" applyFill="1" applyBorder="1" applyAlignment="1">
      <alignment vertical="center"/>
    </xf>
    <xf numFmtId="167" fontId="0" fillId="0" borderId="0" xfId="1" applyNumberFormat="1" applyFont="1"/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50021"/>
      <color rgb="FFFFCCCC"/>
      <color rgb="FFEA8B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66C5-A292-4A06-BB23-082588F33841}">
  <dimension ref="B1:K20"/>
  <sheetViews>
    <sheetView tabSelected="1" workbookViewId="0">
      <selection activeCell="F25" sqref="F25"/>
    </sheetView>
  </sheetViews>
  <sheetFormatPr defaultRowHeight="14.4" x14ac:dyDescent="0.3"/>
  <cols>
    <col min="3" max="3" width="36" bestFit="1" customWidth="1"/>
    <col min="4" max="4" width="11.21875" customWidth="1"/>
    <col min="5" max="5" width="16.44140625" bestFit="1" customWidth="1"/>
    <col min="6" max="6" width="20.6640625" bestFit="1" customWidth="1"/>
    <col min="7" max="7" width="9" bestFit="1" customWidth="1"/>
    <col min="10" max="10" width="26.109375" bestFit="1" customWidth="1"/>
    <col min="11" max="11" width="12.21875" bestFit="1" customWidth="1"/>
  </cols>
  <sheetData>
    <row r="1" spans="2:11" ht="15" thickBot="1" x14ac:dyDescent="0.35"/>
    <row r="2" spans="2:11" ht="15" thickBot="1" x14ac:dyDescent="0.35">
      <c r="B2" s="20"/>
      <c r="C2" s="21"/>
      <c r="D2" s="21"/>
      <c r="E2" s="21"/>
      <c r="F2" s="21"/>
      <c r="G2" s="21"/>
      <c r="H2" s="22"/>
      <c r="J2" s="45" t="s">
        <v>18</v>
      </c>
    </row>
    <row r="3" spans="2:11" ht="15" thickBot="1" x14ac:dyDescent="0.35">
      <c r="B3" s="23"/>
      <c r="C3" s="24"/>
      <c r="D3" s="1" t="s">
        <v>0</v>
      </c>
      <c r="E3" s="2" t="s">
        <v>1</v>
      </c>
      <c r="F3" s="2" t="s">
        <v>2</v>
      </c>
      <c r="G3" s="3" t="s">
        <v>3</v>
      </c>
      <c r="H3" s="25"/>
      <c r="J3" s="50" t="s">
        <v>17</v>
      </c>
    </row>
    <row r="4" spans="2:11" x14ac:dyDescent="0.3">
      <c r="B4" s="23"/>
      <c r="C4" s="15" t="s">
        <v>4</v>
      </c>
      <c r="D4" s="4">
        <v>115000</v>
      </c>
      <c r="E4" s="5">
        <f>IF(OR(D8=0,D10="-"),"-",D4/D10)</f>
        <v>0.30341328413284135</v>
      </c>
      <c r="F4" s="5">
        <f>IF(OR(D12=0,D4=0),"-",D4/D12)</f>
        <v>0.30026109660574413</v>
      </c>
      <c r="G4" s="55">
        <v>0.3</v>
      </c>
      <c r="H4" s="25"/>
      <c r="J4" s="51" t="s">
        <v>16</v>
      </c>
    </row>
    <row r="5" spans="2:11" x14ac:dyDescent="0.3">
      <c r="B5" s="23"/>
      <c r="C5" s="16" t="s">
        <v>5</v>
      </c>
      <c r="D5" s="6">
        <v>94000</v>
      </c>
      <c r="E5" s="7">
        <f>IF(OR(D8=0,D10="-"),"-",D5/D10)</f>
        <v>0.24800738007380074</v>
      </c>
      <c r="F5" s="54">
        <f>IF(OR(D12=0,D5=0),"-",D5/D12)</f>
        <v>0.24543080939947781</v>
      </c>
      <c r="G5" s="47">
        <v>0.25</v>
      </c>
      <c r="H5" s="25"/>
      <c r="J5" s="46" t="s">
        <v>15</v>
      </c>
    </row>
    <row r="6" spans="2:11" x14ac:dyDescent="0.3">
      <c r="B6" s="23"/>
      <c r="C6" s="16" t="s">
        <v>6</v>
      </c>
      <c r="D6" s="6">
        <v>60000</v>
      </c>
      <c r="E6" s="7">
        <f>IF(OR(D8=0,D10="-"),"-",D6/D10)</f>
        <v>0.15830258302583025</v>
      </c>
      <c r="F6" s="7">
        <f>IF(OR(D12=0,D6=0),"-",D6/D12)</f>
        <v>0.1566579634464752</v>
      </c>
      <c r="G6" s="56">
        <v>0.16</v>
      </c>
      <c r="H6" s="25"/>
    </row>
    <row r="7" spans="2:11" x14ac:dyDescent="0.3">
      <c r="B7" s="23"/>
      <c r="C7" s="36" t="s">
        <v>14</v>
      </c>
      <c r="D7" s="37">
        <v>2000</v>
      </c>
      <c r="E7" s="38">
        <v>5.0000000000000001E-3</v>
      </c>
      <c r="F7" s="7">
        <f>IF(OR(D12=0,D7=0),"-",D7/D12)</f>
        <v>5.2219321148825066E-3</v>
      </c>
      <c r="G7" s="48">
        <v>5.0000000000000001E-3</v>
      </c>
      <c r="H7" s="25"/>
      <c r="J7" s="52" t="s">
        <v>19</v>
      </c>
    </row>
    <row r="8" spans="2:11" ht="15" thickBot="1" x14ac:dyDescent="0.35">
      <c r="B8" s="23"/>
      <c r="C8" s="17" t="s">
        <v>7</v>
      </c>
      <c r="D8" s="8">
        <f>SUM(D4:D7)</f>
        <v>271000</v>
      </c>
      <c r="E8" s="9">
        <f>IF(OR(D8=0,D10="-"),"-",D8/D10)</f>
        <v>0.71499999999999997</v>
      </c>
      <c r="F8" s="10">
        <f>SUM(F4:F6)</f>
        <v>0.70234986945169708</v>
      </c>
      <c r="G8" s="49">
        <v>0.71499999999999997</v>
      </c>
      <c r="H8" s="25"/>
      <c r="J8" s="53" t="s">
        <v>20</v>
      </c>
    </row>
    <row r="9" spans="2:11" ht="15" thickBot="1" x14ac:dyDescent="0.35">
      <c r="B9" s="23"/>
      <c r="C9" s="26"/>
      <c r="D9" s="27"/>
      <c r="E9" s="28"/>
      <c r="F9" s="28"/>
      <c r="G9" s="28"/>
      <c r="H9" s="25"/>
    </row>
    <row r="10" spans="2:11" ht="15" thickBot="1" x14ac:dyDescent="0.35">
      <c r="B10" s="23"/>
      <c r="C10" s="18" t="s">
        <v>8</v>
      </c>
      <c r="D10" s="11">
        <f>IF(D8=0,"-",D8/(G8))</f>
        <v>379020.97902097902</v>
      </c>
      <c r="E10" s="29"/>
      <c r="F10" s="29"/>
      <c r="G10" s="29"/>
      <c r="H10" s="25"/>
      <c r="J10" s="57"/>
    </row>
    <row r="11" spans="2:11" ht="15" thickBot="1" x14ac:dyDescent="0.35">
      <c r="B11" s="23"/>
      <c r="C11" s="26"/>
      <c r="D11" s="27"/>
      <c r="E11" s="29"/>
      <c r="F11" s="29"/>
      <c r="G11" s="29"/>
      <c r="H11" s="25"/>
      <c r="J11" t="s">
        <v>22</v>
      </c>
    </row>
    <row r="12" spans="2:11" ht="15" thickBot="1" x14ac:dyDescent="0.35">
      <c r="B12" s="23"/>
      <c r="C12" s="15" t="s">
        <v>9</v>
      </c>
      <c r="D12" s="12">
        <v>383000</v>
      </c>
      <c r="E12" s="29"/>
      <c r="F12" s="29"/>
      <c r="G12" s="29"/>
      <c r="H12" s="25"/>
      <c r="J12" t="s">
        <v>23</v>
      </c>
      <c r="K12" s="60">
        <f>D4/G4</f>
        <v>383333.33333333337</v>
      </c>
    </row>
    <row r="13" spans="2:11" ht="15" thickBot="1" x14ac:dyDescent="0.35">
      <c r="B13" s="23"/>
      <c r="C13" s="19" t="s">
        <v>21</v>
      </c>
      <c r="D13" s="13">
        <f>IF(OR(D12=0,D8=0),"-",D12-D8)</f>
        <v>112000</v>
      </c>
      <c r="E13" s="14">
        <f>D13/D12</f>
        <v>0.29242819843342038</v>
      </c>
      <c r="F13" s="28"/>
      <c r="G13" s="29"/>
      <c r="H13" s="25"/>
      <c r="J13" t="s">
        <v>24</v>
      </c>
      <c r="K13" s="60">
        <f>D4*G5/G4</f>
        <v>95833.333333333343</v>
      </c>
    </row>
    <row r="14" spans="2:11" x14ac:dyDescent="0.3">
      <c r="B14" s="23"/>
      <c r="C14" s="30"/>
      <c r="D14" s="30"/>
      <c r="E14" s="31"/>
      <c r="F14" s="31"/>
      <c r="G14" s="31"/>
      <c r="H14" s="25"/>
      <c r="J14" t="s">
        <v>13</v>
      </c>
      <c r="K14" s="60">
        <f>D4*G6/G4</f>
        <v>61333.333333333336</v>
      </c>
    </row>
    <row r="15" spans="2:11" ht="15" thickBot="1" x14ac:dyDescent="0.35">
      <c r="B15" s="23"/>
      <c r="C15" s="32" t="s">
        <v>10</v>
      </c>
      <c r="D15" s="30"/>
      <c r="E15" s="31"/>
      <c r="F15" s="58"/>
      <c r="G15" s="31"/>
      <c r="H15" s="25"/>
      <c r="J15" t="s">
        <v>14</v>
      </c>
      <c r="K15" s="60">
        <f>D4*G7/G5</f>
        <v>2300</v>
      </c>
    </row>
    <row r="16" spans="2:11" x14ac:dyDescent="0.3">
      <c r="B16" s="23"/>
      <c r="C16" s="39" t="s">
        <v>11</v>
      </c>
      <c r="D16" s="42">
        <f>D12*G4</f>
        <v>114900</v>
      </c>
      <c r="E16" s="31"/>
      <c r="F16" s="58"/>
      <c r="G16" s="31"/>
      <c r="H16" s="25"/>
    </row>
    <row r="17" spans="2:8" x14ac:dyDescent="0.3">
      <c r="B17" s="23"/>
      <c r="C17" s="40" t="s">
        <v>13</v>
      </c>
      <c r="D17" s="43">
        <f>D12*G6</f>
        <v>61280</v>
      </c>
      <c r="E17" s="31"/>
      <c r="F17" s="59"/>
      <c r="G17" s="31"/>
      <c r="H17" s="25"/>
    </row>
    <row r="18" spans="2:8" x14ac:dyDescent="0.3">
      <c r="B18" s="23"/>
      <c r="C18" s="40" t="s">
        <v>12</v>
      </c>
      <c r="D18" s="43">
        <f>D12*G5</f>
        <v>95750</v>
      </c>
      <c r="E18" s="31"/>
      <c r="F18" s="31"/>
      <c r="G18" s="31"/>
      <c r="H18" s="25"/>
    </row>
    <row r="19" spans="2:8" ht="15" thickBot="1" x14ac:dyDescent="0.35">
      <c r="B19" s="23"/>
      <c r="C19" s="41" t="s">
        <v>14</v>
      </c>
      <c r="D19" s="44">
        <f>D12*G7</f>
        <v>1915</v>
      </c>
      <c r="E19" s="31"/>
      <c r="F19" s="31"/>
      <c r="G19" s="31"/>
      <c r="H19" s="25"/>
    </row>
    <row r="20" spans="2:8" ht="15" thickBot="1" x14ac:dyDescent="0.35">
      <c r="B20" s="33"/>
      <c r="C20" s="34"/>
      <c r="D20" s="34"/>
      <c r="E20" s="34"/>
      <c r="F20" s="34"/>
      <c r="G20" s="34"/>
      <c r="H20" s="35"/>
    </row>
  </sheetData>
  <conditionalFormatting sqref="E13">
    <cfRule type="cellIs" dxfId="1" priority="1" operator="lessThan">
      <formula>0.285</formula>
    </cfRule>
    <cfRule type="cellIs" dxfId="0" priority="2" operator="greaterThan">
      <formula>0.285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760DF023777448BB1F36641C397A8A" ma:contentTypeVersion="17" ma:contentTypeDescription="Create a new document." ma:contentTypeScope="" ma:versionID="e10b1a2ee20ea4e4b52dee1963dd5a4d">
  <xsd:schema xmlns:xsd="http://www.w3.org/2001/XMLSchema" xmlns:xs="http://www.w3.org/2001/XMLSchema" xmlns:p="http://schemas.microsoft.com/office/2006/metadata/properties" xmlns:ns2="9ecdefc2-fa72-43fe-8a70-d65c594d1b63" xmlns:ns3="0a4e9f82-07ce-422a-b101-4e0e4064cd64" targetNamespace="http://schemas.microsoft.com/office/2006/metadata/properties" ma:root="true" ma:fieldsID="2602190deabdbb59cc1bbff7cb2a0e51" ns2:_="" ns3:_="">
    <xsd:import namespace="9ecdefc2-fa72-43fe-8a70-d65c594d1b63"/>
    <xsd:import namespace="0a4e9f82-07ce-422a-b101-4e0e4064cd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cdefc2-fa72-43fe-8a70-d65c594d1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948f13a-aec3-4fff-8b21-f463ecb20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e9f82-07ce-422a-b101-4e0e4064cd6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366a4ed-68ba-4bf5-b6a2-1b4c06b66865}" ma:internalName="TaxCatchAll" ma:showField="CatchAllData" ma:web="0a4e9f82-07ce-422a-b101-4e0e4064cd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4e9f82-07ce-422a-b101-4e0e4064cd64" xsi:nil="true"/>
    <lcf76f155ced4ddcb4097134ff3c332f xmlns="9ecdefc2-fa72-43fe-8a70-d65c594d1b6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C1DA17-A2E6-43D6-A7A8-220E185872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79DC2A-A68F-4834-B8C6-1AB3A0D438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cdefc2-fa72-43fe-8a70-d65c594d1b63"/>
    <ds:schemaRef ds:uri="0a4e9f82-07ce-422a-b101-4e0e4064cd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74B29B-4A4F-4D16-815F-8DBCB8F88B53}">
  <ds:schemaRefs>
    <ds:schemaRef ds:uri="http://schemas.microsoft.com/office/2006/metadata/properties"/>
    <ds:schemaRef ds:uri="http://schemas.microsoft.com/office/infopath/2007/PartnerControls"/>
    <ds:schemaRef ds:uri="0a4e9f82-07ce-422a-b101-4e0e4064cd64"/>
    <ds:schemaRef ds:uri="9ecdefc2-fa72-43fe-8a70-d65c594d1b6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Engine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 Yoakum</dc:creator>
  <cp:lastModifiedBy>Wes Yoakum</cp:lastModifiedBy>
  <dcterms:created xsi:type="dcterms:W3CDTF">2026-04-02T19:04:57Z</dcterms:created>
  <dcterms:modified xsi:type="dcterms:W3CDTF">2026-04-06T16:21:41Z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0x010100BF760DF023777448BB1F36641C397A8A</vt:lpwstr>
  </property>
</Properties>
</file>